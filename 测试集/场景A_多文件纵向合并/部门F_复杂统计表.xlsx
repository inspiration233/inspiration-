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ermes-workspace\Zcode-excel合并小工具\测试集\场景A_多文件纵向合并\"/>
    </mc:Choice>
  </mc:AlternateContent>
  <bookViews>
    <workbookView windowWidth="29868" windowHeight="15300" activeTab="1"/>
  </bookViews>
  <sheets>
    <sheet name="销售明细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<sst xmlns="http://schemas.openxmlformats.org/spreadsheetml/2006/main" count="230" uniqueCount="63">
  <si>
    <t>日期</t>
  </si>
  <si>
    <t>客户姓名</t>
  </si>
  <si>
    <t>产品</t>
  </si>
  <si>
    <t>数量</t>
  </si>
  <si>
    <t>单价</t>
  </si>
  <si>
    <t>销售额</t>
  </si>
  <si>
    <t>备注</t>
  </si>
  <si>
    <t>周杰</t>
  </si>
  <si>
    <t>签字笔(盒)</t>
  </si>
  <si>
    <t>月结</t>
  </si>
  <si>
    <t>吴倩</t>
  </si>
  <si>
    <t>马超</t>
  </si>
  <si>
    <t>碎纸机</t>
  </si>
  <si>
    <t xml:space="preserve">含运费 </t>
  </si>
  <si>
    <t>会议记录本</t>
  </si>
  <si>
    <t>王芳</t>
  </si>
  <si>
    <t>杨洋</t>
  </si>
  <si>
    <t>A4打印纸(箱)</t>
  </si>
  <si>
    <t>老客户折扣</t>
  </si>
  <si>
    <t>硒鼓</t>
  </si>
  <si>
    <t>刘洋</t>
  </si>
  <si>
    <t>朱婷</t>
  </si>
  <si>
    <t>白板(块)</t>
  </si>
  <si>
    <t>赵敏</t>
  </si>
  <si>
    <t>激光打印机</t>
  </si>
  <si>
    <t>加急</t>
  </si>
  <si>
    <t>李娜</t>
  </si>
  <si>
    <t>刘强</t>
  </si>
  <si>
    <t>合计</t>
  </si>
  <si>
    <t>统计表</t>
  </si>
  <si>
    <t xml:space="preserve">统计说明：1、
     </t>
  </si>
  <si>
    <t>统计单位（盖章）：</t>
  </si>
  <si>
    <t>联系人：</t>
  </si>
  <si>
    <t>XXX</t>
  </si>
  <si>
    <t>填报时间：</t>
  </si>
  <si>
    <t>XXXX.XX.XX</t>
  </si>
  <si>
    <t>序号</t>
  </si>
  <si>
    <t>填报单位</t>
  </si>
  <si>
    <t>现有数量</t>
  </si>
  <si>
    <t>数量1</t>
  </si>
  <si>
    <t>数量2</t>
  </si>
  <si>
    <t>数量X</t>
  </si>
  <si>
    <t>详细信息</t>
  </si>
  <si>
    <t>单位/部门</t>
  </si>
  <si>
    <t>数量3</t>
  </si>
  <si>
    <t>单位</t>
  </si>
  <si>
    <t>年份</t>
  </si>
  <si>
    <t>类型1</t>
  </si>
  <si>
    <t>数量4</t>
  </si>
  <si>
    <t>万元</t>
  </si>
  <si>
    <t>形式</t>
  </si>
  <si>
    <t>形式1</t>
  </si>
  <si>
    <t>形式2</t>
  </si>
  <si>
    <t>形式3</t>
  </si>
  <si>
    <t>形式4</t>
  </si>
  <si>
    <t>形式5</t>
  </si>
  <si>
    <t>补充说明</t>
  </si>
  <si>
    <t>XXXXXX</t>
  </si>
  <si>
    <t>XX</t>
  </si>
  <si>
    <t>2026年</t>
  </si>
  <si>
    <t>形式_1</t>
  </si>
  <si>
    <t>2027年</t>
  </si>
  <si>
    <t>形式_2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</si>
</sst>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1">
    <font>
      <sz val="11"/>
      <color theme="1"/>
      <name val="宋体"/>
      <charset val="134"/>
      <scheme val="minor"/>
    </font>
    <font>
      <sz val="20"/>
      <name val="黑体"/>
      <charset val="134"/>
    </font>
    <font>
      <sz val="20"/>
      <color theme="1"/>
      <name val="黑体"/>
      <charset val="134"/>
    </font>
    <font>
      <sz val="12"/>
      <color rgb="FFFF0000"/>
      <name val="黑体"/>
      <charset val="134"/>
    </font>
    <font>
      <sz val="14"/>
      <color theme="1"/>
      <name val="黑体"/>
      <charset val="134"/>
    </font>
    <font>
      <sz val="14"/>
      <color rgb="FF1F1F1F"/>
      <name val="黑体"/>
      <charset val="134"/>
    </font>
    <font>
      <sz val="14"/>
      <name val="黑体"/>
      <charset val="134"/>
    </font>
    <font>
      <sz val="14"/>
      <color theme="1"/>
      <name val="仿宋_GB2312"/>
      <charset val="134"/>
    </font>
    <font>
      <sz val="14"/>
      <name val="仿宋_GB2312"/>
      <charset val="134"/>
    </font>
    <font>
      <b/>
      <sz val="10"/>
      <color rgb="FFFFFFFF"/>
      <name val="微软雅黑"/>
      <charset val="134"/>
    </font>
    <font>
      <sz val="11"/>
      <color rgb="FF9C0006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8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Border="1" applyAlignment="1"/>
    <xf numFmtId="0" fontId="5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/>
    </xf>
    <xf numFmtId="176" fontId="0" fillId="0" borderId="0" xfId="0" applyNumberFormat="1"/>
    <xf numFmtId="0" fontId="10" fillId="4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A1:G20"/>
    </sheetView>
  </sheetViews>
  <sheetFormatPr defaultColWidth="9" defaultRowHeight="14.4" outlineLevelCol="6"/>
  <cols>
    <col min="1" max="1" width="11" customWidth="1"/>
    <col min="2" max="2" width="9" customWidth="1"/>
    <col min="3" max="3" width="14" customWidth="1"/>
    <col min="4" max="4" width="6" customWidth="1"/>
    <col min="5" max="5" width="8" customWidth="1"/>
    <col min="6" max="7" width="10" customWidth="1"/>
  </cols>
  <sheetData>
    <row r="1" ht="15.6" spans="1:7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>
      <c r="A2" s="18">
        <v>46305</v>
      </c>
      <c r="B2" t="s">
        <v>7</v>
      </c>
      <c r="C2" t="s">
        <v>8</v>
      </c>
      <c r="D2">
        <v>8</v>
      </c>
      <c r="E2">
        <v>25</v>
      </c>
      <c r="F2">
        <v>200</v>
      </c>
      <c r="G2" t="s">
        <v>9</v>
      </c>
    </row>
    <row r="3" spans="1:7">
      <c r="A3" s="18">
        <v>46302</v>
      </c>
      <c r="B3" t="s">
        <v>10</v>
      </c>
      <c r="C3" t="s">
        <v>8</v>
      </c>
      <c r="D3">
        <v>3</v>
      </c>
      <c r="E3">
        <v>25</v>
      </c>
      <c r="F3">
        <v>75</v>
      </c>
      <c r="G3" s="19" t="s">
        <v>9</v>
      </c>
    </row>
    <row r="4" spans="1:7">
      <c r="A4" s="18">
        <v>46303</v>
      </c>
      <c r="B4" t="s">
        <v>11</v>
      </c>
      <c r="C4" t="s">
        <v>12</v>
      </c>
      <c r="D4">
        <v>12</v>
      </c>
      <c r="E4">
        <v>599</v>
      </c>
      <c r="F4">
        <v>7188</v>
      </c>
      <c r="G4" t="s">
        <v>13</v>
      </c>
    </row>
    <row r="5" spans="1:7">
      <c r="A5" s="18">
        <v>46287</v>
      </c>
      <c r="B5" t="s">
        <v>10</v>
      </c>
      <c r="C5" t="s">
        <v>14</v>
      </c>
      <c r="D5">
        <v>3</v>
      </c>
      <c r="E5">
        <v>12</v>
      </c>
      <c r="F5">
        <v>36</v>
      </c>
    </row>
    <row r="6" spans="1:7">
      <c r="A6" s="18">
        <v>46299</v>
      </c>
      <c r="B6" t="s">
        <v>15</v>
      </c>
      <c r="C6" t="s">
        <v>8</v>
      </c>
      <c r="D6">
        <v>5</v>
      </c>
      <c r="E6">
        <v>25</v>
      </c>
      <c r="F6">
        <v>125</v>
      </c>
      <c r="G6" t="s">
        <v>13</v>
      </c>
    </row>
    <row r="7" spans="1:7">
      <c r="A7" s="18">
        <v>46291</v>
      </c>
      <c r="B7" t="s">
        <v>16</v>
      </c>
      <c r="C7" t="s">
        <v>17</v>
      </c>
      <c r="D7">
        <v>12</v>
      </c>
      <c r="E7">
        <v>89.5</v>
      </c>
      <c r="F7">
        <v>1074</v>
      </c>
      <c r="G7" t="s">
        <v>18</v>
      </c>
    </row>
    <row r="8" spans="1:7">
      <c r="A8" s="18">
        <v>46297</v>
      </c>
      <c r="B8" t="s">
        <v>16</v>
      </c>
      <c r="C8" t="s">
        <v>12</v>
      </c>
      <c r="D8">
        <v>5</v>
      </c>
      <c r="E8">
        <v>599</v>
      </c>
      <c r="F8">
        <v>2995</v>
      </c>
    </row>
    <row r="9" spans="1:7">
      <c r="A9" s="18">
        <v>46287</v>
      </c>
      <c r="B9" t="s">
        <v>16</v>
      </c>
      <c r="C9" t="s">
        <v>19</v>
      </c>
      <c r="D9">
        <v>2</v>
      </c>
      <c r="E9">
        <v>388</v>
      </c>
      <c r="F9">
        <v>776</v>
      </c>
      <c r="G9" t="s">
        <v>18</v>
      </c>
    </row>
    <row r="10" spans="1:7">
      <c r="A10" s="18">
        <v>46289</v>
      </c>
      <c r="B10" t="s">
        <v>20</v>
      </c>
      <c r="C10" t="s">
        <v>19</v>
      </c>
      <c r="D10">
        <v>5</v>
      </c>
      <c r="E10">
        <v>388</v>
      </c>
      <c r="F10">
        <v>1940</v>
      </c>
    </row>
    <row r="11" spans="1:7">
      <c r="A11" s="18">
        <v>46307</v>
      </c>
      <c r="B11" t="s">
        <v>21</v>
      </c>
      <c r="C11" t="s">
        <v>22</v>
      </c>
      <c r="D11">
        <v>5</v>
      </c>
      <c r="E11">
        <v>149</v>
      </c>
      <c r="F11">
        <v>745</v>
      </c>
    </row>
    <row r="12" spans="1:7">
      <c r="A12" s="18">
        <v>46287</v>
      </c>
      <c r="B12" t="s">
        <v>23</v>
      </c>
      <c r="C12" t="s">
        <v>24</v>
      </c>
      <c r="D12">
        <v>8</v>
      </c>
      <c r="E12">
        <v>1299</v>
      </c>
      <c r="F12">
        <v>10392</v>
      </c>
      <c r="G12" t="s">
        <v>25</v>
      </c>
    </row>
    <row r="13" spans="1:7">
      <c r="A13" s="18">
        <v>46298</v>
      </c>
      <c r="B13" t="s">
        <v>15</v>
      </c>
      <c r="C13" t="s">
        <v>12</v>
      </c>
      <c r="D13">
        <v>12</v>
      </c>
      <c r="E13">
        <v>599</v>
      </c>
      <c r="F13">
        <v>7188</v>
      </c>
      <c r="G13" t="s">
        <v>13</v>
      </c>
    </row>
    <row r="14" spans="1:7">
      <c r="A14" s="18">
        <v>46293</v>
      </c>
      <c r="B14" t="s">
        <v>7</v>
      </c>
      <c r="C14" t="s">
        <v>19</v>
      </c>
      <c r="D14">
        <v>12</v>
      </c>
      <c r="E14">
        <v>388</v>
      </c>
      <c r="F14">
        <v>4656</v>
      </c>
      <c r="G14" t="s">
        <v>25</v>
      </c>
    </row>
    <row r="15" spans="1:7">
      <c r="A15" s="18">
        <v>46285</v>
      </c>
      <c r="B15" t="s">
        <v>7</v>
      </c>
      <c r="C15" t="s">
        <v>12</v>
      </c>
      <c r="D15">
        <v>12</v>
      </c>
      <c r="E15">
        <v>599</v>
      </c>
      <c r="F15">
        <v>7188</v>
      </c>
      <c r="G15" t="s">
        <v>9</v>
      </c>
    </row>
    <row r="17" spans="1:7">
      <c r="A17" s="18">
        <v>46286</v>
      </c>
      <c r="B17" t="s">
        <v>26</v>
      </c>
      <c r="C17" t="s">
        <v>22</v>
      </c>
      <c r="D17">
        <v>3</v>
      </c>
      <c r="E17">
        <v>149</v>
      </c>
      <c r="F17">
        <v>447</v>
      </c>
      <c r="G17" t="s">
        <v>13</v>
      </c>
    </row>
    <row r="18" spans="1:7">
      <c r="A18" s="18">
        <v>46298</v>
      </c>
      <c r="B18" t="s">
        <v>10</v>
      </c>
      <c r="C18" t="s">
        <v>19</v>
      </c>
      <c r="D18">
        <v>2</v>
      </c>
      <c r="E18">
        <v>388</v>
      </c>
      <c r="F18">
        <v>776</v>
      </c>
      <c r="G18" t="s">
        <v>18</v>
      </c>
    </row>
    <row r="19" spans="1:7">
      <c r="A19" s="18">
        <v>46288</v>
      </c>
      <c r="B19" t="s">
        <v>27</v>
      </c>
      <c r="C19" t="s">
        <v>14</v>
      </c>
      <c r="D19">
        <v>2</v>
      </c>
      <c r="E19">
        <v>12</v>
      </c>
      <c r="F19">
        <v>24</v>
      </c>
      <c r="G19" t="s">
        <v>25</v>
      </c>
    </row>
    <row r="20" spans="1:7">
      <c r="A20" t="s">
        <v>28</v>
      </c>
      <c r="F20">
        <v>8765.43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tabSelected="1" workbookViewId="0">
      <selection activeCell="G30" sqref="G30"/>
    </sheetView>
  </sheetViews>
  <sheetFormatPr defaultColWidth="8.88888888888889" defaultRowHeight="14.4"/>
  <cols>
    <col min="6" max="7" width="50.1111111111111" customWidth="1"/>
  </cols>
  <sheetData>
    <row r="1" ht="25.8" spans="1:19">
      <c r="A1" s="1" t="s">
        <v>29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6" spans="1:19">
      <c r="A2" s="3" t="s">
        <v>30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ht="17.4" spans="1:19">
      <c r="A3" s="5" t="s">
        <v>31</v>
      </c>
      <c r="B3" s="5"/>
      <c r="C3" s="6"/>
      <c r="D3" s="6"/>
      <c r="E3" s="6"/>
      <c r="F3" s="6"/>
      <c r="G3" s="6"/>
      <c r="H3" s="6"/>
      <c r="I3" s="6"/>
      <c r="J3" s="6"/>
      <c r="K3" s="6" t="s">
        <v>32</v>
      </c>
      <c r="L3" s="6" t="s">
        <v>33</v>
      </c>
      <c r="M3" s="6" t="s">
        <v>34</v>
      </c>
      <c r="N3" s="5" t="s">
        <v>35</v>
      </c>
      <c r="O3" s="5"/>
      <c r="P3" s="5"/>
      <c r="Q3" s="5"/>
      <c r="R3" s="5"/>
      <c r="S3" s="5"/>
    </row>
    <row r="4" ht="17.4" spans="1:19">
      <c r="A4" s="7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8" t="s">
        <v>41</v>
      </c>
      <c r="G4" s="8"/>
      <c r="H4" s="8" t="s">
        <v>42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ht="34.8" spans="1:19">
      <c r="A5" s="7"/>
      <c r="B5" s="7"/>
      <c r="C5" s="7"/>
      <c r="D5" s="7"/>
      <c r="E5" s="7"/>
      <c r="F5" s="7" t="s">
        <v>43</v>
      </c>
      <c r="G5" s="7" t="s">
        <v>44</v>
      </c>
      <c r="H5" s="7" t="s">
        <v>45</v>
      </c>
      <c r="I5" s="7" t="s">
        <v>46</v>
      </c>
      <c r="J5" s="7" t="s">
        <v>47</v>
      </c>
      <c r="K5" s="7" t="s">
        <v>48</v>
      </c>
      <c r="L5" s="7" t="s">
        <v>49</v>
      </c>
      <c r="M5" s="7" t="s">
        <v>50</v>
      </c>
      <c r="N5" s="9" t="s">
        <v>51</v>
      </c>
      <c r="O5" s="9" t="s">
        <v>52</v>
      </c>
      <c r="P5" s="9" t="s">
        <v>53</v>
      </c>
      <c r="Q5" s="9" t="s">
        <v>54</v>
      </c>
      <c r="R5" s="9" t="s">
        <v>55</v>
      </c>
      <c r="S5" s="9" t="s">
        <v>56</v>
      </c>
    </row>
    <row r="6" ht="17.4" spans="1:19">
      <c r="A6" s="10">
        <v>1</v>
      </c>
      <c r="B6" s="11" t="s">
        <v>57</v>
      </c>
      <c r="C6" s="11">
        <f>G10+G15+G20+G21+G6</f>
        <v>8</v>
      </c>
      <c r="D6" s="11">
        <f>K7+K11+K16</f>
        <v>4</v>
      </c>
      <c r="E6" s="11">
        <f>K9+K13+K14+K18+K19</f>
        <v>6</v>
      </c>
      <c r="F6" s="11" t="s">
        <v>33</v>
      </c>
      <c r="G6" s="11">
        <v>1</v>
      </c>
      <c r="H6" s="11" t="s">
        <v>58</v>
      </c>
      <c r="I6" s="11" t="s">
        <v>59</v>
      </c>
      <c r="J6" s="12" t="s">
        <v>58</v>
      </c>
      <c r="K6" s="11">
        <v>1</v>
      </c>
      <c r="L6" s="11">
        <f t="shared" ref="L6:L10" si="0">10.2*K6</f>
        <v>10.2</v>
      </c>
      <c r="M6" s="13" t="s">
        <v>60</v>
      </c>
      <c r="N6" s="12" t="s">
        <v>58</v>
      </c>
      <c r="O6" s="12" t="s">
        <v>58</v>
      </c>
      <c r="P6" s="12" t="s">
        <v>58</v>
      </c>
      <c r="Q6" s="12" t="s">
        <v>58</v>
      </c>
      <c r="R6" s="12" t="s">
        <v>58</v>
      </c>
      <c r="S6" s="12" t="s">
        <v>58</v>
      </c>
    </row>
    <row r="7" ht="17.4" spans="1:19">
      <c r="A7" s="10">
        <v>2</v>
      </c>
      <c r="B7" s="11"/>
      <c r="C7" s="11"/>
      <c r="D7" s="11"/>
      <c r="E7" s="11"/>
      <c r="F7" s="11"/>
      <c r="G7" s="11"/>
      <c r="H7" s="11"/>
      <c r="I7" s="11"/>
      <c r="J7" s="12" t="s">
        <v>58</v>
      </c>
      <c r="K7" s="11">
        <v>1</v>
      </c>
      <c r="L7" s="11">
        <v>15.8</v>
      </c>
      <c r="M7" s="13" t="s">
        <v>60</v>
      </c>
      <c r="N7" s="12" t="s">
        <v>58</v>
      </c>
      <c r="O7" s="12" t="s">
        <v>58</v>
      </c>
      <c r="P7" s="12" t="s">
        <v>58</v>
      </c>
      <c r="Q7" s="12" t="s">
        <v>58</v>
      </c>
      <c r="R7" s="12" t="s">
        <v>58</v>
      </c>
      <c r="S7" s="12" t="s">
        <v>58</v>
      </c>
    </row>
    <row r="8" ht="17.4" spans="1:19">
      <c r="A8" s="10">
        <v>3</v>
      </c>
      <c r="B8" s="11"/>
      <c r="C8" s="11"/>
      <c r="D8" s="11"/>
      <c r="E8" s="11"/>
      <c r="F8" s="11"/>
      <c r="G8" s="11"/>
      <c r="H8" s="11"/>
      <c r="I8" s="11" t="s">
        <v>61</v>
      </c>
      <c r="J8" s="12" t="s">
        <v>58</v>
      </c>
      <c r="K8" s="11">
        <v>1</v>
      </c>
      <c r="L8" s="11">
        <f t="shared" ref="L8:L12" si="1">7.9*K8</f>
        <v>7.9</v>
      </c>
      <c r="M8" s="13" t="s">
        <v>60</v>
      </c>
      <c r="N8" s="12" t="s">
        <v>58</v>
      </c>
      <c r="O8" s="12" t="s">
        <v>58</v>
      </c>
      <c r="P8" s="12" t="s">
        <v>58</v>
      </c>
      <c r="Q8" s="12" t="s">
        <v>58</v>
      </c>
      <c r="R8" s="12" t="s">
        <v>58</v>
      </c>
      <c r="S8" s="12" t="s">
        <v>58</v>
      </c>
    </row>
    <row r="9" ht="17.4" spans="1:19">
      <c r="A9" s="10">
        <v>5</v>
      </c>
      <c r="B9" s="11"/>
      <c r="C9" s="11"/>
      <c r="D9" s="11"/>
      <c r="E9" s="11"/>
      <c r="F9" s="11"/>
      <c r="G9" s="11"/>
      <c r="H9" s="11"/>
      <c r="I9" s="11"/>
      <c r="J9" s="12" t="s">
        <v>58</v>
      </c>
      <c r="K9" s="11">
        <v>1</v>
      </c>
      <c r="L9" s="11">
        <f t="shared" si="0"/>
        <v>10.2</v>
      </c>
      <c r="M9" s="13" t="s">
        <v>60</v>
      </c>
      <c r="N9" s="12" t="s">
        <v>58</v>
      </c>
      <c r="O9" s="12" t="s">
        <v>58</v>
      </c>
      <c r="P9" s="12" t="s">
        <v>58</v>
      </c>
      <c r="Q9" s="12" t="s">
        <v>58</v>
      </c>
      <c r="R9" s="12" t="s">
        <v>58</v>
      </c>
      <c r="S9" s="12" t="s">
        <v>58</v>
      </c>
    </row>
    <row r="10" ht="17.4" spans="1:19">
      <c r="A10" s="10">
        <v>6</v>
      </c>
      <c r="B10" s="11"/>
      <c r="C10" s="11"/>
      <c r="D10" s="11"/>
      <c r="E10" s="11"/>
      <c r="F10" s="14" t="s">
        <v>33</v>
      </c>
      <c r="G10" s="11">
        <v>1</v>
      </c>
      <c r="H10" s="11" t="s">
        <v>58</v>
      </c>
      <c r="I10" s="11" t="s">
        <v>59</v>
      </c>
      <c r="J10" s="12" t="s">
        <v>58</v>
      </c>
      <c r="K10" s="11">
        <v>1</v>
      </c>
      <c r="L10" s="11">
        <f t="shared" si="0"/>
        <v>10.2</v>
      </c>
      <c r="M10" s="13" t="s">
        <v>62</v>
      </c>
      <c r="N10" s="12" t="s">
        <v>58</v>
      </c>
      <c r="O10" s="12" t="s">
        <v>58</v>
      </c>
      <c r="P10" s="12" t="s">
        <v>58</v>
      </c>
      <c r="Q10" s="12" t="s">
        <v>58</v>
      </c>
      <c r="R10" s="12" t="s">
        <v>58</v>
      </c>
      <c r="S10" s="12" t="s">
        <v>58</v>
      </c>
    </row>
    <row r="11" ht="17.4" spans="1:19">
      <c r="A11" s="10">
        <v>7</v>
      </c>
      <c r="B11" s="11"/>
      <c r="C11" s="11"/>
      <c r="D11" s="11"/>
      <c r="E11" s="11"/>
      <c r="F11" s="15"/>
      <c r="G11" s="11"/>
      <c r="H11" s="11"/>
      <c r="I11" s="11"/>
      <c r="J11" s="12" t="s">
        <v>58</v>
      </c>
      <c r="K11" s="11">
        <v>1</v>
      </c>
      <c r="L11" s="11">
        <f t="shared" si="1"/>
        <v>7.9</v>
      </c>
      <c r="M11" s="13" t="s">
        <v>60</v>
      </c>
      <c r="N11" s="12" t="s">
        <v>58</v>
      </c>
      <c r="O11" s="12" t="s">
        <v>58</v>
      </c>
      <c r="P11" s="12" t="s">
        <v>58</v>
      </c>
      <c r="Q11" s="12" t="s">
        <v>58</v>
      </c>
      <c r="R11" s="12" t="s">
        <v>58</v>
      </c>
      <c r="S11" s="12" t="s">
        <v>58</v>
      </c>
    </row>
    <row r="12" ht="17.4" spans="1:19">
      <c r="A12" s="10">
        <v>8</v>
      </c>
      <c r="B12" s="11"/>
      <c r="C12" s="11"/>
      <c r="D12" s="11"/>
      <c r="E12" s="11"/>
      <c r="F12" s="15"/>
      <c r="G12" s="11"/>
      <c r="H12" s="11"/>
      <c r="I12" s="11" t="s">
        <v>61</v>
      </c>
      <c r="J12" s="12" t="s">
        <v>58</v>
      </c>
      <c r="K12" s="11">
        <v>1</v>
      </c>
      <c r="L12" s="11">
        <f t="shared" si="1"/>
        <v>7.9</v>
      </c>
      <c r="M12" s="13" t="s">
        <v>60</v>
      </c>
      <c r="N12" s="12" t="s">
        <v>58</v>
      </c>
      <c r="O12" s="12" t="s">
        <v>58</v>
      </c>
      <c r="P12" s="12" t="s">
        <v>58</v>
      </c>
      <c r="Q12" s="12" t="s">
        <v>58</v>
      </c>
      <c r="R12" s="12" t="s">
        <v>58</v>
      </c>
      <c r="S12" s="12" t="s">
        <v>58</v>
      </c>
    </row>
    <row r="13" ht="17.4" spans="1:19">
      <c r="A13" s="10">
        <v>10</v>
      </c>
      <c r="B13" s="11"/>
      <c r="C13" s="11"/>
      <c r="D13" s="11"/>
      <c r="E13" s="11"/>
      <c r="F13" s="15"/>
      <c r="G13" s="11"/>
      <c r="H13" s="11"/>
      <c r="I13" s="11"/>
      <c r="J13" s="12" t="s">
        <v>58</v>
      </c>
      <c r="K13" s="11">
        <v>1</v>
      </c>
      <c r="L13" s="11">
        <v>8.3</v>
      </c>
      <c r="M13" s="13" t="s">
        <v>60</v>
      </c>
      <c r="N13" s="12" t="s">
        <v>58</v>
      </c>
      <c r="O13" s="12" t="s">
        <v>58</v>
      </c>
      <c r="P13" s="12" t="s">
        <v>58</v>
      </c>
      <c r="Q13" s="12" t="s">
        <v>58</v>
      </c>
      <c r="R13" s="12" t="s">
        <v>58</v>
      </c>
      <c r="S13" s="12" t="s">
        <v>58</v>
      </c>
    </row>
    <row r="14" ht="17.4" spans="1:19">
      <c r="A14" s="10">
        <v>11</v>
      </c>
      <c r="B14" s="11"/>
      <c r="C14" s="11"/>
      <c r="D14" s="11"/>
      <c r="E14" s="11"/>
      <c r="F14" s="16"/>
      <c r="G14" s="11"/>
      <c r="H14" s="11"/>
      <c r="I14" s="11"/>
      <c r="J14" s="12" t="s">
        <v>58</v>
      </c>
      <c r="K14" s="11">
        <v>2</v>
      </c>
      <c r="L14" s="11">
        <f t="shared" ref="L14:L18" si="2">10.2*K14</f>
        <v>20.4</v>
      </c>
      <c r="M14" s="13" t="s">
        <v>62</v>
      </c>
      <c r="N14" s="12" t="s">
        <v>58</v>
      </c>
      <c r="O14" s="12" t="s">
        <v>58</v>
      </c>
      <c r="P14" s="12" t="s">
        <v>58</v>
      </c>
      <c r="Q14" s="12" t="s">
        <v>58</v>
      </c>
      <c r="R14" s="12" t="s">
        <v>58</v>
      </c>
      <c r="S14" s="12" t="s">
        <v>58</v>
      </c>
    </row>
    <row r="15" ht="17.4" spans="1:19">
      <c r="A15" s="10">
        <v>12</v>
      </c>
      <c r="B15" s="11"/>
      <c r="C15" s="11"/>
      <c r="D15" s="11"/>
      <c r="E15" s="11"/>
      <c r="F15" s="11" t="s">
        <v>33</v>
      </c>
      <c r="G15" s="11">
        <v>1</v>
      </c>
      <c r="H15" s="11" t="s">
        <v>58</v>
      </c>
      <c r="I15" s="11" t="s">
        <v>59</v>
      </c>
      <c r="J15" s="12" t="s">
        <v>58</v>
      </c>
      <c r="K15" s="11">
        <v>1</v>
      </c>
      <c r="L15" s="11">
        <f t="shared" si="2"/>
        <v>10.2</v>
      </c>
      <c r="M15" s="13" t="s">
        <v>60</v>
      </c>
      <c r="N15" s="12" t="s">
        <v>58</v>
      </c>
      <c r="O15" s="12" t="s">
        <v>58</v>
      </c>
      <c r="P15" s="12" t="s">
        <v>58</v>
      </c>
      <c r="Q15" s="12" t="s">
        <v>58</v>
      </c>
      <c r="R15" s="12" t="s">
        <v>58</v>
      </c>
      <c r="S15" s="12" t="s">
        <v>58</v>
      </c>
    </row>
    <row r="16" ht="17.4" spans="1:19">
      <c r="A16" s="10">
        <v>13</v>
      </c>
      <c r="B16" s="11"/>
      <c r="C16" s="11"/>
      <c r="D16" s="11"/>
      <c r="E16" s="11"/>
      <c r="F16" s="11"/>
      <c r="G16" s="11"/>
      <c r="H16" s="11"/>
      <c r="I16" s="11"/>
      <c r="J16" s="12" t="s">
        <v>58</v>
      </c>
      <c r="K16" s="11">
        <v>2</v>
      </c>
      <c r="L16" s="11">
        <f>7.9*K16</f>
        <v>15.8</v>
      </c>
      <c r="M16" s="13" t="s">
        <v>60</v>
      </c>
      <c r="N16" s="12" t="s">
        <v>58</v>
      </c>
      <c r="O16" s="12" t="s">
        <v>58</v>
      </c>
      <c r="P16" s="12" t="s">
        <v>58</v>
      </c>
      <c r="Q16" s="12" t="s">
        <v>58</v>
      </c>
      <c r="R16" s="12" t="s">
        <v>58</v>
      </c>
      <c r="S16" s="12" t="s">
        <v>58</v>
      </c>
    </row>
    <row r="17" ht="17.4" spans="1:19">
      <c r="A17" s="10">
        <v>14</v>
      </c>
      <c r="B17" s="11"/>
      <c r="C17" s="11"/>
      <c r="D17" s="11"/>
      <c r="E17" s="11"/>
      <c r="F17" s="11"/>
      <c r="G17" s="11"/>
      <c r="H17" s="11"/>
      <c r="I17" s="11" t="s">
        <v>61</v>
      </c>
      <c r="J17" s="12" t="s">
        <v>58</v>
      </c>
      <c r="K17" s="11">
        <v>1</v>
      </c>
      <c r="L17" s="11">
        <v>7.9</v>
      </c>
      <c r="M17" s="13" t="s">
        <v>62</v>
      </c>
      <c r="N17" s="12" t="s">
        <v>58</v>
      </c>
      <c r="O17" s="12" t="s">
        <v>58</v>
      </c>
      <c r="P17" s="12" t="s">
        <v>58</v>
      </c>
      <c r="Q17" s="12" t="s">
        <v>58</v>
      </c>
      <c r="R17" s="12" t="s">
        <v>58</v>
      </c>
      <c r="S17" s="12" t="s">
        <v>58</v>
      </c>
    </row>
    <row r="18" ht="17.4" spans="1:19">
      <c r="A18" s="10">
        <v>15</v>
      </c>
      <c r="B18" s="11"/>
      <c r="C18" s="11"/>
      <c r="D18" s="11"/>
      <c r="E18" s="11"/>
      <c r="F18" s="11"/>
      <c r="G18" s="11"/>
      <c r="H18" s="11"/>
      <c r="I18" s="11"/>
      <c r="J18" s="12" t="s">
        <v>58</v>
      </c>
      <c r="K18" s="11">
        <v>1</v>
      </c>
      <c r="L18" s="11">
        <f t="shared" si="2"/>
        <v>10.2</v>
      </c>
      <c r="M18" s="13" t="s">
        <v>62</v>
      </c>
      <c r="N18" s="12" t="s">
        <v>58</v>
      </c>
      <c r="O18" s="12" t="s">
        <v>58</v>
      </c>
      <c r="P18" s="12" t="s">
        <v>58</v>
      </c>
      <c r="Q18" s="12" t="s">
        <v>58</v>
      </c>
      <c r="R18" s="12" t="s">
        <v>58</v>
      </c>
      <c r="S18" s="12" t="s">
        <v>58</v>
      </c>
    </row>
    <row r="19" ht="17.4" spans="1:19">
      <c r="A19" s="10">
        <v>16</v>
      </c>
      <c r="B19" s="11"/>
      <c r="C19" s="11"/>
      <c r="D19" s="11"/>
      <c r="E19" s="11"/>
      <c r="F19" s="11"/>
      <c r="G19" s="11"/>
      <c r="H19" s="11"/>
      <c r="I19" s="11"/>
      <c r="J19" s="12" t="s">
        <v>58</v>
      </c>
      <c r="K19" s="11">
        <v>1</v>
      </c>
      <c r="L19" s="11">
        <v>7.9</v>
      </c>
      <c r="M19" s="13" t="s">
        <v>60</v>
      </c>
      <c r="N19" s="12" t="s">
        <v>58</v>
      </c>
      <c r="O19" s="12" t="s">
        <v>58</v>
      </c>
      <c r="P19" s="12" t="s">
        <v>58</v>
      </c>
      <c r="Q19" s="12" t="s">
        <v>58</v>
      </c>
      <c r="R19" s="12" t="s">
        <v>58</v>
      </c>
      <c r="S19" s="12" t="s">
        <v>58</v>
      </c>
    </row>
    <row r="20" ht="17.4" spans="1:19">
      <c r="A20" s="10">
        <v>17</v>
      </c>
      <c r="B20" s="11"/>
      <c r="C20" s="11"/>
      <c r="D20" s="11"/>
      <c r="E20" s="11"/>
      <c r="F20" s="11" t="s">
        <v>33</v>
      </c>
      <c r="G20" s="11">
        <v>4</v>
      </c>
      <c r="H20" s="11" t="s">
        <v>58</v>
      </c>
      <c r="I20" s="11" t="s">
        <v>61</v>
      </c>
      <c r="J20" s="12" t="s">
        <v>58</v>
      </c>
      <c r="K20" s="11">
        <v>2</v>
      </c>
      <c r="L20" s="11">
        <f>10.2*K20</f>
        <v>20.4</v>
      </c>
      <c r="M20" s="13" t="s">
        <v>62</v>
      </c>
      <c r="N20" s="12" t="s">
        <v>58</v>
      </c>
      <c r="O20" s="12" t="s">
        <v>58</v>
      </c>
      <c r="P20" s="12" t="s">
        <v>58</v>
      </c>
      <c r="Q20" s="12" t="s">
        <v>58</v>
      </c>
      <c r="R20" s="12" t="s">
        <v>58</v>
      </c>
      <c r="S20" s="12" t="s">
        <v>58</v>
      </c>
    </row>
    <row r="21" ht="17.4" spans="1:19">
      <c r="A21" s="10">
        <v>21</v>
      </c>
      <c r="B21" s="11"/>
      <c r="C21" s="11"/>
      <c r="D21" s="11"/>
      <c r="E21" s="11"/>
      <c r="F21" s="11" t="s">
        <v>33</v>
      </c>
      <c r="G21" s="11">
        <v>1</v>
      </c>
      <c r="H21" s="11" t="s">
        <v>58</v>
      </c>
      <c r="I21" s="11" t="s">
        <v>61</v>
      </c>
      <c r="J21" s="12" t="s">
        <v>58</v>
      </c>
      <c r="K21" s="11">
        <v>3</v>
      </c>
      <c r="L21" s="11">
        <f>10.2*K21</f>
        <v>30.6</v>
      </c>
      <c r="M21" s="13" t="s">
        <v>60</v>
      </c>
      <c r="N21" s="12" t="s">
        <v>58</v>
      </c>
      <c r="O21" s="12" t="s">
        <v>58</v>
      </c>
      <c r="P21" s="12" t="s">
        <v>58</v>
      </c>
      <c r="Q21" s="12" t="s">
        <v>58</v>
      </c>
      <c r="R21" s="12" t="s">
        <v>58</v>
      </c>
      <c r="S21" s="12" t="s">
        <v>58</v>
      </c>
    </row>
  </sheetData>
  <mergeCells count="29">
    <mergeCell ref="A1:S1"/>
    <mergeCell ref="A2:S2"/>
    <mergeCell ref="N3:S3"/>
    <mergeCell ref="F4:G4"/>
    <mergeCell ref="H4:S4"/>
    <mergeCell ref="A4:A5"/>
    <mergeCell ref="B4:B5"/>
    <mergeCell ref="B6:B21"/>
    <mergeCell ref="C4:C5"/>
    <mergeCell ref="C6:C21"/>
    <mergeCell ref="D4:D5"/>
    <mergeCell ref="D6:D21"/>
    <mergeCell ref="E4:E5"/>
    <mergeCell ref="E6:E21"/>
    <mergeCell ref="F6:F9"/>
    <mergeCell ref="F10:F14"/>
    <mergeCell ref="F15:F19"/>
    <mergeCell ref="G6:G9"/>
    <mergeCell ref="G10:G14"/>
    <mergeCell ref="G15:G19"/>
    <mergeCell ref="H6:H9"/>
    <mergeCell ref="H10:H14"/>
    <mergeCell ref="H15:H19"/>
    <mergeCell ref="I6:I7"/>
    <mergeCell ref="I8:I9"/>
    <mergeCell ref="I10:I11"/>
    <mergeCell ref="I12:I14"/>
    <mergeCell ref="I15:I16"/>
    <mergeCell ref="I17:I19"/>
  </mergeCells>
  <dataValidations count="2">
    <dataValidation type="list" allowBlank="1" showInputMessage="1" showErrorMessage="1" sqref="M6 M7 M8 M9 M10 M11 M12 M13 M14 M15 M16 M17 M18 M19 M20 M21">
      <formula1>"形式_1,形式_2"</formula1>
    </dataValidation>
    <dataValidation type="list" allowBlank="1" showInputMessage="1" showErrorMessage="1" sqref="I17 I6:I15 I19:I21">
      <formula1>"2026年,2027年"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销售明细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Inspiration</cp:lastModifiedBy>
  <dcterms:created xsi:type="dcterms:W3CDTF">2026-10-15T07:24:00Z</dcterms:created>
  <dcterms:modified xsi:type="dcterms:W3CDTF">2026-10-16T06:17:49Z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669D73E01BDC4E29BD4D8D9CC3F8F0AD_12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